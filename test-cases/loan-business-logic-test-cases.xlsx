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insin/Desktop/methang/test-cases/"/>
    </mc:Choice>
  </mc:AlternateContent>
  <xr:revisionPtr revIDLastSave="0" documentId="13_ncr:1_{049EA319-F0F1-5146-8F06-863B7A5224E9}" xr6:coauthVersionLast="47" xr6:coauthVersionMax="47" xr10:uidLastSave="{00000000-0000-0000-0000-000000000000}"/>
  <bookViews>
    <workbookView minimized="1" xWindow="0" yWindow="700" windowWidth="34200" windowHeight="19680" activeTab="1" xr2:uid="{00000000-000D-0000-FFFF-FFFF00000000}"/>
  </bookViews>
  <sheets>
    <sheet name="สรุป" sheetId="1" r:id="rId1"/>
    <sheet name="รายการทดสอบ" sheetId="2" r:id="rId2"/>
    <sheet name="สถานะและกติกา" sheetId="3" r:id="rId3"/>
  </sheets>
  <definedNames>
    <definedName name="_xlnm._FilterDatabase" localSheetId="1" hidden="1">รายการทดสอบ!$A$1:$O$42</definedName>
    <definedName name="_xlnm._FilterDatabase" localSheetId="2" hidden="1">สถานะและกติกา!$A$1:$D$16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</calcChain>
</file>

<file path=xl/sharedStrings.xml><?xml version="1.0" encoding="utf-8"?>
<sst xmlns="http://schemas.openxmlformats.org/spreadsheetml/2006/main" count="653" uniqueCount="306">
  <si>
    <t>เอกสารทดสอบ Business Logic ระบบกู้ยืมฉุกเฉิน</t>
  </si>
  <si>
    <t>วัตถุประสงค์</t>
  </si>
  <si>
    <t>ใช้ตรวจความสอดคล้องระหว่างหน้าเว็บ/API/ฐานข้อมูลกับกติกาธุรกิจ</t>
  </si>
  <si>
    <t>วิธีใช้</t>
  </si>
  <si>
    <t>กรองรายการตามหมวดหรือสถานะ แล้วเลือก ☑ ในคอลัมน์ ‘เสร็จแล้ว’ หลังทดสอบจริง</t>
  </si>
  <si>
    <t>หมายเหตุสำคัญ</t>
  </si>
  <si>
    <t>‘เคยกู้’ อ้างอิงประวัติคำขอ และ ‘มีหนี้ค้าง’ ยังไม่มี field/rule บังคับในโค้ดปัจจุบัน</t>
  </si>
  <si>
    <t>ตัวชี้วัด</t>
  </si>
  <si>
    <t>จำนวน</t>
  </si>
  <si>
    <t>จำนวน test cases ทั้งหมด</t>
  </si>
  <si>
    <t>ทดสอบเสร็จแล้ว</t>
  </si>
  <si>
    <t>ยังไม่ทดสอบ</t>
  </si>
  <si>
    <t>กรณีที่เป็นช่องว่างของระบบ</t>
  </si>
  <si>
    <t>คำอธิบายสถานะ</t>
  </si>
  <si>
    <t>draft: ร่าง | returned: ส่งกลับแก้ไข | pending_advisor: รออาจารย์ | pending_admin: รอเจ้าหน้าที่ | pending_executive: รอผู้บริหาร | pending_disbursement: รอโอน | disbursed: โอนแล้ว | closed: ปิดหนี้ | rejected: ปฏิเสธ | cancelled: ยกเลิก</t>
  </si>
  <si>
    <t>หมวด</t>
  </si>
  <si>
    <t>นศ. เคยกู้</t>
  </si>
  <si>
    <t>มีหนี้ค้าง</t>
  </si>
  <si>
    <t>ผู้ดำเนินการ</t>
  </si>
  <si>
    <t>สถานะก่อนทำ</t>
  </si>
  <si>
    <t>การกระทำ / ข้อมูลทดสอบ</t>
  </si>
  <si>
    <t>เงื่อนไขหรือข้อมูลสำคัญ</t>
  </si>
  <si>
    <t>สถานะที่คาดหวัง</t>
  </si>
  <si>
    <t>ผู้คืน/ปฏิเสธ</t>
  </si>
  <si>
    <t>ผลลัพธ์ที่คาดหวังบนเว็บ / API</t>
  </si>
  <si>
    <t>ความครอบคลุมระบบปัจจุบัน</t>
  </si>
  <si>
    <t>สรุปเหตุการณ์ทั้งหมด</t>
  </si>
  <si>
    <t>เสร็จแล้ว</t>
  </si>
  <si>
    <t>ผลจริง / หมายเหตุ</t>
  </si>
  <si>
    <t>AUTH-001</t>
  </si>
  <si>
    <t>สิทธิ์เข้าใช้งาน</t>
  </si>
  <si>
    <t>ไม่เคย</t>
  </si>
  <si>
    <t>ไม่มี</t>
  </si>
  <si>
    <t>ผู้ไม่ล็อกอิน</t>
  </si>
  <si>
    <t>-</t>
  </si>
  <si>
    <t>ส่งคำขอกู้</t>
  </si>
  <si>
    <t>ไม่มี session</t>
  </si>
  <si>
    <t>ไม่สร้างคำขอ</t>
  </si>
  <si>
    <t>API ตอบ 401 Authentication required</t>
  </si>
  <si>
    <t>ทำได้แล้ว</t>
  </si>
  <si>
    <t>ผู้ไม่ล็อกอินพยายามยื่นกู้ ระบบไม่อนุญาต</t>
  </si>
  <si>
    <t>☐</t>
  </si>
  <si>
    <t>AUTH-002</t>
  </si>
  <si>
    <t>นักศึกษา</t>
  </si>
  <si>
    <t>เปิดคำขอของคนอื่น</t>
  </si>
  <si>
    <t>ใช้ loan id ของนักศึกษาคนอื่น</t>
  </si>
  <si>
    <t>ไม่แสดงข้อมูล</t>
  </si>
  <si>
    <t>API ตอบ 404 และไม่เปิดเผยข้อมูล</t>
  </si>
  <si>
    <t>นักศึกษาพยายามเปิดคำขอของผู้อื่น ระบบไม่อนุญาต</t>
  </si>
  <si>
    <t>AUTH-003</t>
  </si>
  <si>
    <t>อาจารย์คนอื่น</t>
  </si>
  <si>
    <t>pending_advisor</t>
  </si>
  <si>
    <t>เปิด/ตัดสินคำขอ</t>
  </si>
  <si>
    <t>ไม่ใช่อาจารย์ที่ถูกมอบหมาย</t>
  </si>
  <si>
    <t>ไม่เปลี่ยนสถานะ</t>
  </si>
  <si>
    <t>API ตอบ 404</t>
  </si>
  <si>
    <t>อาจารย์ที่ไม่ได้รับมอบหมายพยายามตัดสินคำขอ ระบบไม่อนุญาต</t>
  </si>
  <si>
    <t>AUTH-004</t>
  </si>
  <si>
    <t>บุคลากรทั่วไป</t>
  </si>
  <si>
    <t>ดูรายการคำขอ</t>
  </si>
  <si>
    <t>ไม่มีบทบาท admin/super_admin/executive/advisor</t>
  </si>
  <si>
    <t>ไม่แสดงรายการ</t>
  </si>
  <si>
    <t>API ตอบ 403</t>
  </si>
  <si>
    <t>ผู้ไม่มีสิทธิ์พยายามดูรายการคำขอ ระบบไม่อนุญาต</t>
  </si>
  <si>
    <t>SUBMIT-001</t>
  </si>
  <si>
    <t>ยื่นคำขอ</t>
  </si>
  <si>
    <t>ไม่มีคำขอเปิด</t>
  </si>
  <si>
    <t>ยื่นคำขอถูกต้อง</t>
  </si>
  <si>
    <t>จำนวนเงิน &gt; 0, ชั้นปี 1-4, ผ่อน 1-3 งวด, อาจารย์มีเพียง 1 คน</t>
  </si>
  <si>
    <t>สร้าง LoanRequest, approval advisor attempt 1 และ audit log; หน้าอาจารย์เห็นคำขอ</t>
  </si>
  <si>
    <t>นศ.ไม่เคยกู้ ไม่มีหนี้ค้าง ยื่นคำขอถูกต้อง รออาจารย์อนุมัติ</t>
  </si>
  <si>
    <t>SUBMIT-002</t>
  </si>
  <si>
    <t>เคย</t>
  </si>
  <si>
    <t>มีประวัติคำขอปิดแล้ว (closed)</t>
  </si>
  <si>
    <t>ยื่นได้ เพราะคำขอ closed ไม่ถือเป็น open loan</t>
  </si>
  <si>
    <t>นศ.เคยกู้ ปิดหนี้แล้ว ยื่นคำขอใหม่ รออาจารย์อนุมัติ</t>
  </si>
  <si>
    <t>SUBMIT-003</t>
  </si>
  <si>
    <t>มี</t>
  </si>
  <si>
    <t>จำลองว่ามีหนี้ค้างจากแหล่งข้อมูลภายนอก</t>
  </si>
  <si>
    <t>ระบบปัจจุบันยังไม่มี field/rule ตรวจหนี้ค้าง จึงยังยื่นได้; บันทึกเป็น business-rule gap</t>
  </si>
  <si>
    <t>ช่องว่าง: ไม่มี rule หนี้ค้าง</t>
  </si>
  <si>
    <t>นศ.ไม่เคยกู้แต่มีหนี้ค้าง ยื่นคำขอ ระบบปัจจุบันยังรออาจารย์อนุมัติ</t>
  </si>
  <si>
    <t>SUBMIT-004</t>
  </si>
  <si>
    <t>เคยกู้และมีหนี้ค้าง</t>
  </si>
  <si>
    <t>ระบบปัจจุบันยังไม่ตรวจหนี้ค้าง; ทดสอบเพื่อยืนยัน policy ที่ธุรกิจกำหนด</t>
  </si>
  <si>
    <t>นศ.เคยกู้และมีหนี้ค้าง ยื่นคำขอ ระบบปัจจุบันยังรออาจารย์อนุมัติ</t>
  </si>
  <si>
    <t>SUBMIT-005</t>
  </si>
  <si>
    <t>ยื่นคำขอใหม่</t>
  </si>
  <si>
    <t>มีคำขอ open อยู่</t>
  </si>
  <si>
    <t>API ตอบ 409 You already have an open loan request</t>
  </si>
  <si>
    <t>นศ.มีคำขอรออาจารย์ ยื่นซ้ำ ระบบป้องกันคำขอเปิดซ้ำ</t>
  </si>
  <si>
    <t>SUBMIT-006</t>
  </si>
  <si>
    <t>pending_admin</t>
  </si>
  <si>
    <t>มีคำขอ open อยู่ระหว่างรอเจ้าหน้าที่</t>
  </si>
  <si>
    <t>API ตอบ 409</t>
  </si>
  <si>
    <t>นศ.ผ่านอาจารย์แล้วแต่ยังรอเจ้าหน้าที่ ยื่นซ้ำ ระบบป้องกันคำขอเปิดซ้ำ</t>
  </si>
  <si>
    <t>SUBMIT-007</t>
  </si>
  <si>
    <t>ตรวจสอบข้อมูล</t>
  </si>
  <si>
    <t>ยื่นจำนวนเงิน 0/ติดลบ/ทศนิยม</t>
  </si>
  <si>
    <t>amount ไม่ใช่จำนวนเต็มบวก</t>
  </si>
  <si>
    <t>API ตอบ 422 amount is invalid</t>
  </si>
  <si>
    <t>นศ.ยื่นจำนวนเงินไม่ถูกต้อง ระบบปฏิเสธข้อมูล</t>
  </si>
  <si>
    <t>SUBMIT-008</t>
  </si>
  <si>
    <t>ยื่นชั้นปี 0, 5 หรือทศนิยม</t>
  </si>
  <si>
    <t>studentYear ต้องเป็น 1-4</t>
  </si>
  <si>
    <t>API ตอบ 422 studentYear is invalid</t>
  </si>
  <si>
    <t>นศ.ยื่นชั้นปีไม่ถูกต้อง ระบบปฏิเสธข้อมูล</t>
  </si>
  <si>
    <t>SUBMIT-009</t>
  </si>
  <si>
    <t>เลือกผ่อน 0 หรือ 4 งวด</t>
  </si>
  <si>
    <t>installmentCount ต้องเป็น 1-3</t>
  </si>
  <si>
    <t>API ตอบ 422 installmentCount is invalid</t>
  </si>
  <si>
    <t>นศ.เลือกจำนวนงวดไม่ถูกต้อง ระบบปฏิเสธข้อมูล</t>
  </si>
  <si>
    <t>SUBMIT-010</t>
  </si>
  <si>
    <t>เว้นข้อมูลบังคับ</t>
  </si>
  <si>
    <t>advisorName/purpose/bankName/bankAccountNo/bankAccountName ว่าง</t>
  </si>
  <si>
    <t>API ตอบ 422 ระบุ field ที่ invalid</t>
  </si>
  <si>
    <t>นศ.กรอกข้อมูลบังคับไม่ครบ ระบบปฏิเสธข้อมูล</t>
  </si>
  <si>
    <t>SUBMIT-011</t>
  </si>
  <si>
    <t>เลือกอาจารย์ที่ไม่มี/ชื่อซ้ำ</t>
  </si>
  <si>
    <t>พบ advisor 0 คน หรือมากกว่า 1 คน</t>
  </si>
  <si>
    <t>API ตอบ 422 advisorName is ambiguous or not found</t>
  </si>
  <si>
    <t>นศ.เลือกอาจารย์ไม่ถูกต้องหรือชื่อกำกวม ระบบไม่สร้างคำขอ</t>
  </si>
  <si>
    <t>SUBMIT-012</t>
  </si>
  <si>
    <t>ยื่นด้วย CMU identity ไม่ตรง record เดิม</t>
  </si>
  <si>
    <t>cmuAccount/email/studentCode ไม่สอดคล้องกัน</t>
  </si>
  <si>
    <t>API ตอบ 422 CMU identity does not match the existing student</t>
  </si>
  <si>
    <t>นศ.มีข้อมูลระบุตัวตนไม่ตรงกับข้อมูลเดิม ระบบไม่สร้างคำขอ</t>
  </si>
  <si>
    <t>ADVISOR-001</t>
  </si>
  <si>
    <t>การพิจารณาอาจารย์</t>
  </si>
  <si>
    <t>อาจารย์ที่ปรึกษา</t>
  </si>
  <si>
    <t>อนุมัติ</t>
  </si>
  <si>
    <t>approval advisor เป็น pending</t>
  </si>
  <si>
    <t>อาจารย์</t>
  </si>
  <si>
    <t>บันทึก approval=approved พร้อมผู้ตัดสิน/เวลา; สร้าง approval admin pending attempt 1</t>
  </si>
  <si>
    <t>นศ.ยื่นคำขอ อาจารย์อนุมัติ นศ.ผ่านการอนุมัติโดยอาจารย์และรอเจ้าหน้าที่</t>
  </si>
  <si>
    <t>ADVISOR-002</t>
  </si>
  <si>
    <t>ส่งกลับแก้ไข</t>
  </si>
  <si>
    <t>comment ต้องไม่ว่าง</t>
  </si>
  <si>
    <t>returned</t>
  </si>
  <si>
    <t>บันทึก approval=returned พร้อมเหตุผล; นศ.เห็นสถานะ returned</t>
  </si>
  <si>
    <t>นศ.ยื่นคำขอ อาจารย์ส่งกลับแก้ไข นศ.ต้องแก้ไขและยื่นใหม่</t>
  </si>
  <si>
    <t>ADVISOR-003</t>
  </si>
  <si>
    <t>ปฏิเสธ</t>
  </si>
  <si>
    <t>rejected</t>
  </si>
  <si>
    <t>บันทึก approval=rejected พร้อมเหตุผล; คำขอไม่ใช่ open loan อีกต่อไป</t>
  </si>
  <si>
    <t>นศ.เคยกู้และมีหนี้ค้าง อาจารย์ปฏิเสธคำขอพร้อมเหตุผล</t>
  </si>
  <si>
    <t>ADVISOR-004</t>
  </si>
  <si>
    <t>ส่งกลับ/ปฏิเสธโดยไม่ใส่เหตุผล</t>
  </si>
  <si>
    <t>comment ว่าง</t>
  </si>
  <si>
    <t>API ตอบ 422 A comment is required for this decision</t>
  </si>
  <si>
    <t>อาจารย์พยายามส่งกลับหรือปฏิเสธโดยไม่ให้เหตุผล ระบบไม่อนุญาต</t>
  </si>
  <si>
    <t>ADVISOR-005</t>
  </si>
  <si>
    <t>ตัดสินซ้ำ</t>
  </si>
  <si>
    <t>คำขอไม่อยู่ pending_advisor แล้ว</t>
  </si>
  <si>
    <t>API ตอบ 409 Loan request has already been decided</t>
  </si>
  <si>
    <t>นศ.ผ่านอาจารย์แล้ว อาจารย์พยายามตัดสินซ้ำ ระบบป้องกันข้อมูลซ้ำ</t>
  </si>
  <si>
    <t>RESUBMIT-001</t>
  </si>
  <si>
    <t>แก้ไขและยื่นใหม่</t>
  </si>
  <si>
    <t>คำขอถูกส่งกลับจากอาจารย์ และเลือกอาจารย์เดิม</t>
  </si>
  <si>
    <t>อัปเดตข้อมูลคำขอ, reset approvedAmount, สร้าง approval advisor attempt ใหม่</t>
  </si>
  <si>
    <t>นศ.ถูกอาจารย์ส่งกลับ แก้ไขและยื่นให้อาจารย์เดิมพิจารณาใหม่</t>
  </si>
  <si>
    <t>RESUBMIT-002</t>
  </si>
  <si>
    <t>คำขอถูกส่งกลับจากอาจารย์ และเปลี่ยนอาจารย์</t>
  </si>
  <si>
    <t>เริ่ม flow ที่อาจารย์ใหม่ โดยสร้าง approval advisor attempt ใหม่</t>
  </si>
  <si>
    <t>นศ.ถูกอาจารย์ส่งกลับ เปลี่ยนอาจารย์และยื่นให้อาจารย์ใหม่พิจารณา</t>
  </si>
  <si>
    <t>RESUBMIT-003</t>
  </si>
  <si>
    <t>คำขอถูกส่งกลับจากเจ้าหน้าที่ และเลือกอาจารย์เดิม</t>
  </si>
  <si>
    <t>เจ้าหน้าที่</t>
  </si>
  <si>
    <t>ข้ามอาจารย์และสร้าง approval admin attempt ใหม่</t>
  </si>
  <si>
    <t>ทำได้แล้วตาม route</t>
  </si>
  <si>
    <t>นศ.ผ่านอาจารย์ ถูกเจ้าหน้าที่ส่งกลับ แก้ไขแล้วรอเจ้าหน้าที่ตรวจซ้ำ</t>
  </si>
  <si>
    <t>RESUBMIT-004</t>
  </si>
  <si>
    <t>คำขอถูกส่งกลับจากเจ้าหน้าที่ แต่เปลี่ยนอาจารย์</t>
  </si>
  <si>
    <t>กลับไปเริ่มที่อาจารย์ใหม่</t>
  </si>
  <si>
    <t>นศ.ถูกเจ้าหน้าที่ส่งกลับแต่เปลี่ยนอาจารย์ จึงกลับไปรออาจารย์อนุมัติ</t>
  </si>
  <si>
    <t>RESUBMIT-005</t>
  </si>
  <si>
    <t>เรียกยื่นใหม่</t>
  </si>
  <si>
    <t>สถานะไม่ใช่ returned</t>
  </si>
  <si>
    <t>API ตอบ 404 Loan request not found</t>
  </si>
  <si>
    <t>นศ.พยายามยื่นใหม่ทั้งที่คำขอยังไม่ถูกส่งกลับ ระบบไม่อนุญาต</t>
  </si>
  <si>
    <t>ADMIN-001</t>
  </si>
  <si>
    <t>การตรวจสอบเจ้าหน้าที่</t>
  </si>
  <si>
    <t>คำขอผ่านอาจารย์</t>
  </si>
  <si>
    <t>pending_executive</t>
  </si>
  <si>
    <t>ควรบันทึก approval admin=approved และส่งต่อผู้บริหาร</t>
  </si>
  <si>
    <t>ช่องว่าง: ยังไม่มี API/หน้าจอ admin decision</t>
  </si>
  <si>
    <t>นศ.ผ่านการอนุมัติโดยอาจารย์ ผ่านการตรวจสอบโดยเจ้าหน้าที่ และรอผู้บริหาร</t>
  </si>
  <si>
    <t>ADMIN-002</t>
  </si>
  <si>
    <t>ต้องใส่เหตุผล</t>
  </si>
  <si>
    <t>ควรบันทึกเหตุผลและเปิดให้นศ.แก้ไข/ยื่นใหม่</t>
  </si>
  <si>
    <t>นศ.ผ่านอาจารย์ แต่ถูกเจ้าหน้าที่ส่งกลับแก้ไข</t>
  </si>
  <si>
    <t>ADMIN-003</t>
  </si>
  <si>
    <t>พบหนี้ค้างตาม policy</t>
  </si>
  <si>
    <t>ควรบันทึกผู้ปฏิเสธและเหตุผล; นศ.เห็นผลชัดเจน</t>
  </si>
  <si>
    <t>ช่องว่าง: ยังไม่มี API/หน้าจอ admin decision และ rule หนี้ค้าง</t>
  </si>
  <si>
    <t>นศ.ผ่านอาจารย์ แต่ไม่ผ่านการตรวจสอบโดยเจ้าหน้าที่เพราะมีหนี้ค้าง</t>
  </si>
  <si>
    <t>EXEC-001</t>
  </si>
  <si>
    <t>การอนุมัติผู้บริหาร</t>
  </si>
  <si>
    <t>ผู้บริหาร</t>
  </si>
  <si>
    <t>คำขอผ่านอาจารย์และเจ้าหน้าที่</t>
  </si>
  <si>
    <t>pending_disbursement</t>
  </si>
  <si>
    <t>ควรบันทึก approval executive=approved และส่งต่อเพื่อโอนเงิน</t>
  </si>
  <si>
    <t>ช่องว่าง: ยังไม่มี API/หน้าจอ executive decision</t>
  </si>
  <si>
    <t>นศ.ผ่านอาจารย์และเจ้าหน้าที่ ผ่านการอนุมัติโดยผู้บริหาร และรอโอนเงิน</t>
  </si>
  <si>
    <t>EXEC-002</t>
  </si>
  <si>
    <t>ควรบันทึกเหตุผลและกำหนดเส้นทางการส่งกลับให้ชัดเจน</t>
  </si>
  <si>
    <t>นศ.ผ่านอาจารย์และเจ้าหน้าที่ แต่ถูกผู้บริหารส่งกลับแก้ไข</t>
  </si>
  <si>
    <t>EXEC-003</t>
  </si>
  <si>
    <t>พบเหตุผลตาม policy</t>
  </si>
  <si>
    <t>นศ.ผ่านอาจารย์และเจ้าหน้าที่ แต่ไม่ผ่านการอนุมัติโดยผู้บริหาร</t>
  </si>
  <si>
    <t>DISBURSE-001</t>
  </si>
  <si>
    <t>การโอนเงิน</t>
  </si>
  <si>
    <t>เจ้าหน้าที่การเงิน</t>
  </si>
  <si>
    <t>บันทึกการโอนสำเร็จ</t>
  </si>
  <si>
    <t>ยอด/บัญชีผู้รับถูกต้อง</t>
  </si>
  <si>
    <t>disbursed</t>
  </si>
  <si>
    <t>ควรบันทึก disbursedAt, FundTransaction และแสดงกำหนดชำระ</t>
  </si>
  <si>
    <t>ช่องว่าง: ยังไม่มี API/หน้าจอโอนเงิน</t>
  </si>
  <si>
    <t>นศ.ผ่านทุกขั้นตอน เจ้าหน้าที่โอนเงินสำเร็จ นศ.ได้รับเงินกู้</t>
  </si>
  <si>
    <t>DISBURSE-002</t>
  </si>
  <si>
    <t>โอนไม่สำเร็จ</t>
  </si>
  <si>
    <t>บัญชีไม่ถูกต้อง/ระบบธนาคารขัดข้อง</t>
  </si>
  <si>
    <t>ควรไม่เปลี่ยนเป็น disbursed และเก็บเหตุผล/หลักฐานการลองโอน</t>
  </si>
  <si>
    <t>นศ.ผ่านทุกขั้นตอน แต่การโอนเงินไม่สำเร็จ คำขอยังคงรอโอน</t>
  </si>
  <si>
    <t>REPAY-001</t>
  </si>
  <si>
    <t>การชำระหนี้</t>
  </si>
  <si>
    <t>ชำระบางส่วน</t>
  </si>
  <si>
    <t>ยอดชำระน้อยกว่ายอดครบทุกงวด</t>
  </si>
  <si>
    <t>ควรเพิ่ม Payment และอัปเดต amountPaid โดยยังมีหนี้ค้าง</t>
  </si>
  <si>
    <t>ช่องว่าง: schema รองรับ แต่ยังไม่มี API ยืนยันชำระ</t>
  </si>
  <si>
    <t>นศ.ได้รับเงินกู้ ชำระบางส่วน ยังคงมีหนี้ค้าง</t>
  </si>
  <si>
    <t>REPAY-002</t>
  </si>
  <si>
    <t>ยืนยันชำระครบ</t>
  </si>
  <si>
    <t>ทุก installment ชำระครบ</t>
  </si>
  <si>
    <t>closed</t>
  </si>
  <si>
    <t>ควรระบุ settledAt ของงวดและ closedAt ของคำขอ</t>
  </si>
  <si>
    <t>ช่องว่าง: ยังไม่มี API/logic ปิดหนี้</t>
  </si>
  <si>
    <t>นศ.ชำระครบทุกงวด เจ้าหน้าที่ตรวจสอบแล้ว ปิดหนี้เรียบร้อย</t>
  </si>
  <si>
    <t>CANCEL-001</t>
  </si>
  <si>
    <t>ยกเลิก</t>
  </si>
  <si>
    <t>นักศึกษา/เจ้าหน้าที่</t>
  </si>
  <si>
    <t>draft หรือ pending_*</t>
  </si>
  <si>
    <t>ยกเลิกคำขอ</t>
  </si>
  <si>
    <t>ต้องบันทึกผู้ยกเลิกและเวลา</t>
  </si>
  <si>
    <t>cancelled</t>
  </si>
  <si>
    <t>ผู้ยกเลิก</t>
  </si>
  <si>
    <t>ควรบันทึก cancelledAt/cancelledBy และอนุญาตให้ยื่นใหม่ได้</t>
  </si>
  <si>
    <t>ช่องว่าง: schema รองรับ แต่ยังไม่มี API ยกเลิก</t>
  </si>
  <si>
    <t>นศ.ยกเลิกคำขอก่อนรับเงิน คำขอถูกยกเลิกและยื่นใหม่ได้</t>
  </si>
  <si>
    <t>DISPLAY-001</t>
  </si>
  <si>
    <t>การแสดงผล</t>
  </si>
  <si>
    <t>ดู dashboard/รายละเอียดคำขอ</t>
  </si>
  <si>
    <t>มี approval advisor pending</t>
  </si>
  <si>
    <t>หน้าเว็บต้องแสดงว่ารออาจารย์ ไม่แสดงว่าอนุมัติแล้ว</t>
  </si>
  <si>
    <t>ทดสอบ UI เทียบ API</t>
  </si>
  <si>
    <t>นศ.ยื่นคำขอแล้ว หน้าเว็บแสดงสถานะรออาจารย์อนุมัติถูกต้อง</t>
  </si>
  <si>
    <t>DISPLAY-002</t>
  </si>
  <si>
    <t>advisor approved; admin pending</t>
  </si>
  <si>
    <t>หน้าเว็บต้องสรุปว่า “ผ่านอาจารย์, รอเจ้าหน้าที่” และชื่อผู้อนุมัติถูกต้อง</t>
  </si>
  <si>
    <t>นศ.ผ่านการอนุมัติโดยอาจารย์ และรอการตรวจสอบโดยเจ้าหน้าที่</t>
  </si>
  <si>
    <t>DISPLAY-003</t>
  </si>
  <si>
    <t>ดูประวัติคำขอ</t>
  </si>
  <si>
    <t>rejected โดยอาจารย์/เจ้าหน้าที่/ผู้บริหาร</t>
  </si>
  <si>
    <t>ผู้ตัดสินจริง</t>
  </si>
  <si>
    <t>หน้าเว็บต้องแสดงขั้นตอนและผู้ปฏิเสธจริง พร้อมเหตุผล</t>
  </si>
  <si>
    <t>นศ.ไม่ผ่านการอนุมัติ หน้าเว็บแสดงว่าโดนปฏิเสทโดยใครและเหตุผลถูกต้อง</t>
  </si>
  <si>
    <t>DISPLAY-004</t>
  </si>
  <si>
    <t>ดูคำขอที่ถูกส่งกลับ</t>
  </si>
  <si>
    <t>returned พร้อม comment</t>
  </si>
  <si>
    <t>ผู้ส่งกลับจริง</t>
  </si>
  <si>
    <t>หน้าเว็บต้องแสดงเหตุผลและเปิดทางแก้ไข/ยื่นใหม่เฉพาะเจ้าของคำขอ</t>
  </si>
  <si>
    <t>นศ.ถูกส่งกลับแก้ไข หน้าเว็บแสดงเหตุผลและให้ยื่นใหม่ได้</t>
  </si>
  <si>
    <t>สถานะ</t>
  </si>
  <si>
    <t>ความหมาย</t>
  </si>
  <si>
    <t>ผู้ดำเนินการที่คาดหวัง</t>
  </si>
  <si>
    <t>หลักฐานในระบบปัจจุบัน</t>
  </si>
  <si>
    <t>รออาจารย์ที่ปรึกษาตัดสิน</t>
  </si>
  <si>
    <t>อาจารย์ที่ถูกกำหนดใน advisorId</t>
  </si>
  <si>
    <t>มี API และ query ตัดสิน</t>
  </si>
  <si>
    <t>ผ่านอาจารย์และรอเจ้าหน้าที่</t>
  </si>
  <si>
    <t>เจ้าหน้าที่/admin</t>
  </si>
  <si>
    <t>สร้าง approval admin ได้ แต่ยังไม่มี API ตัดสิน</t>
  </si>
  <si>
    <t>ผ่านเจ้าหน้าที่และรอผู้บริหาร</t>
  </si>
  <si>
    <t>มี enum/schema แต่ยังไม่มี flow</t>
  </si>
  <si>
    <t>ผ่านผู้บริหารและรอโอนเงิน</t>
  </si>
  <si>
    <t>ส่งกลับให้นักศึกษาแก้ไขและยื่นใหม่</t>
  </si>
  <si>
    <t>ผู้ตัดสินของ step ที่ส่งกลับ</t>
  </si>
  <si>
    <t>route resubmit รองรับการเลือกเส้นทาง advisor/admin</t>
  </si>
  <si>
    <t>คำขอถูกปฏิเสธและไม่ถือเป็นคำขอเปิด</t>
  </si>
  <si>
    <t>อาจารย์/เจ้าหน้าที่/ผู้บริหาร</t>
  </si>
  <si>
    <t>อาจารย์ทำได้แล้ว; ขั้นอื่นยังไม่มี API</t>
  </si>
  <si>
    <t>โอนเงินกู้แล้ว</t>
  </si>
  <si>
    <t>มี enum/schema แต่ยังไม่มี API</t>
  </si>
  <si>
    <t>ชำระครบและปิดหนี้</t>
  </si>
  <si>
    <t>ระบบ/เจ้าหน้าที่</t>
  </si>
  <si>
    <t>มี enum/schema แต่ยังไม่มี logic ปิดหนี้</t>
  </si>
  <si>
    <t>กติกาปัจจุบัน</t>
  </si>
  <si>
    <t>รายละเอียด</t>
  </si>
  <si>
    <t>คำขอเปิดได้เพียง 1 รายการ</t>
  </si>
  <si>
    <t>ห้ามมี loan status ที่ไม่ใช่ closed/rejected/cancelled มากกว่า 1 รายการต่อคน</t>
  </si>
  <si>
    <t>การตัดสินอาจารย์</t>
  </si>
  <si>
    <t>approved → pending_admin; returned/rejected ต้องมี comment</t>
  </si>
  <si>
    <t>การยื่นใหม่</t>
  </si>
  <si>
    <t>ทำได้เฉพาะ status=returned; หากถูก admin ส่งกลับและไม่เปลี่ยนอาจารย์ จะกลับ pending_admin</t>
  </si>
  <si>
    <t>หนี้ค้าง</t>
  </si>
  <si>
    <t>โครงสร้างปัจจุบันไม่มีตัวบ่งชี้/กติกาบล็อกหนี้ค้าง จึงต้องยืนยัน policy เพิ่ม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</si>
</sst>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6"/>
      <color rgb="FFFFFFFF"/>
      <name val="Arial"/>
    </font>
    <font>
      <b/>
      <sz val="10"/>
      <name val="Arial"/>
    </font>
    <font>
      <b/>
      <sz val="20"/>
      <color rgb="FFFFFFFF"/>
      <name val="TH SarabunPSK"/>
      <family val="2"/>
    </font>
    <font>
      <sz val="2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sqref="A1:B1"/>
    </sheetView>
  </sheetViews>
  <sheetFormatPr baseColWidth="10" defaultColWidth="8.83203125" defaultRowHeight="15" x14ac:dyDescent="0.2"/>
  <cols>
    <col min="1" max="1" width="32" customWidth="1"/>
    <col min="2" max="2" width="120" customWidth="1"/>
  </cols>
  <sheetData>
    <row r="1" spans="1:2" ht="30" customHeight="1" x14ac:dyDescent="0.2">
      <c r="A1" s="8" t="s">
        <v>0</v>
      </c>
      <c r="B1" s="9"/>
    </row>
    <row r="2" spans="1:2" ht="34" customHeight="1" x14ac:dyDescent="0.2">
      <c r="A2" s="1" t="s">
        <v>1</v>
      </c>
      <c r="B2" s="2" t="s">
        <v>2</v>
      </c>
    </row>
    <row r="3" spans="1:2" ht="34" customHeight="1" x14ac:dyDescent="0.2">
      <c r="A3" s="1" t="s">
        <v>3</v>
      </c>
      <c r="B3" s="2" t="s">
        <v>4</v>
      </c>
    </row>
    <row r="4" spans="1:2" ht="34" customHeight="1" x14ac:dyDescent="0.2">
      <c r="A4" s="1" t="s">
        <v>5</v>
      </c>
      <c r="B4" s="2" t="s">
        <v>6</v>
      </c>
    </row>
    <row r="5" spans="1:2" ht="34" customHeight="1" x14ac:dyDescent="0.2">
      <c r="A5" s="1"/>
      <c r="B5" s="2"/>
    </row>
    <row r="6" spans="1:2" ht="34" customHeight="1" x14ac:dyDescent="0.2">
      <c r="A6" s="3" t="s">
        <v>7</v>
      </c>
      <c r="B6" s="4" t="s">
        <v>8</v>
      </c>
    </row>
    <row r="7" spans="1:2" ht="34" customHeight="1" x14ac:dyDescent="0.2">
      <c r="A7" s="3" t="s">
        <v>9</v>
      </c>
      <c r="B7" s="4">
        <f>COUNTA(รายการทดสอบ!A2:A1000)</f>
        <v>41</v>
      </c>
    </row>
    <row r="8" spans="1:2" ht="34" customHeight="1" x14ac:dyDescent="0.2">
      <c r="A8" s="3" t="s">
        <v>10</v>
      </c>
      <c r="B8" s="4">
        <f>COUNTIF(รายการทดสอบ!N2:N1000,"☑")</f>
        <v>0</v>
      </c>
    </row>
    <row r="9" spans="1:2" ht="34" customHeight="1" x14ac:dyDescent="0.2">
      <c r="A9" s="3" t="s">
        <v>11</v>
      </c>
      <c r="B9" s="4">
        <f>COUNTIF(รายการทดสอบ!N2:N1000,"☐")</f>
        <v>41</v>
      </c>
    </row>
    <row r="10" spans="1:2" ht="34" customHeight="1" x14ac:dyDescent="0.2">
      <c r="A10" s="3" t="s">
        <v>12</v>
      </c>
      <c r="B10" s="4">
        <f>COUNTIF(รายการทดสอบ!L2:L1000,"ช่องว่าง*")</f>
        <v>13</v>
      </c>
    </row>
    <row r="11" spans="1:2" ht="34" customHeight="1" x14ac:dyDescent="0.2">
      <c r="A11" s="1"/>
      <c r="B11" s="2"/>
    </row>
    <row r="12" spans="1:2" ht="34" customHeight="1" x14ac:dyDescent="0.2">
      <c r="A12" s="1" t="s">
        <v>13</v>
      </c>
      <c r="B12" s="2" t="s">
        <v>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workbookViewId="0">
      <pane ySplit="1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4" width="12" customWidth="1"/>
    <col min="5" max="5" width="18" customWidth="1"/>
    <col min="6" max="6" width="19" customWidth="1"/>
    <col min="7" max="7" width="31" customWidth="1"/>
    <col min="8" max="8" width="38" customWidth="1"/>
    <col min="9" max="9" width="22" customWidth="1"/>
    <col min="10" max="10" width="18" customWidth="1"/>
    <col min="11" max="11" width="46" customWidth="1"/>
    <col min="12" max="12" width="31" customWidth="1"/>
    <col min="13" max="13" width="54" customWidth="1"/>
    <col min="14" max="14" width="13" customWidth="1"/>
    <col min="15" max="15" width="30" customWidth="1"/>
  </cols>
  <sheetData>
    <row r="1" spans="1:15" ht="42" customHeight="1" x14ac:dyDescent="0.2">
      <c r="A1" s="10"/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</row>
    <row r="2" spans="1:15" ht="62" customHeight="1" x14ac:dyDescent="0.2">
      <c r="A2" s="11" t="s">
        <v>29</v>
      </c>
      <c r="B2" s="11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34</v>
      </c>
      <c r="K2" s="11" t="s">
        <v>38</v>
      </c>
      <c r="L2" s="11" t="s">
        <v>39</v>
      </c>
      <c r="M2" s="11" t="s">
        <v>40</v>
      </c>
      <c r="N2" s="11" t="s">
        <v>41</v>
      </c>
      <c r="O2" s="11"/>
    </row>
    <row r="3" spans="1:15" ht="62" customHeight="1" x14ac:dyDescent="0.2">
      <c r="A3" s="12" t="s">
        <v>42</v>
      </c>
      <c r="B3" s="12" t="s">
        <v>30</v>
      </c>
      <c r="C3" s="12" t="s">
        <v>31</v>
      </c>
      <c r="D3" s="12" t="s">
        <v>32</v>
      </c>
      <c r="E3" s="12" t="s">
        <v>43</v>
      </c>
      <c r="F3" s="12" t="s">
        <v>34</v>
      </c>
      <c r="G3" s="12" t="s">
        <v>44</v>
      </c>
      <c r="H3" s="12" t="s">
        <v>45</v>
      </c>
      <c r="I3" s="12" t="s">
        <v>46</v>
      </c>
      <c r="J3" s="12" t="s">
        <v>34</v>
      </c>
      <c r="K3" s="12" t="s">
        <v>47</v>
      </c>
      <c r="L3" s="12" t="s">
        <v>39</v>
      </c>
      <c r="M3" s="12" t="s">
        <v>48</v>
      </c>
      <c r="N3" s="12" t="s">
        <v>41</v>
      </c>
      <c r="O3" s="12"/>
    </row>
    <row r="4" spans="1:15" ht="62" customHeight="1" x14ac:dyDescent="0.2">
      <c r="A4" s="11" t="s">
        <v>49</v>
      </c>
      <c r="B4" s="11" t="s">
        <v>30</v>
      </c>
      <c r="C4" s="11" t="s">
        <v>31</v>
      </c>
      <c r="D4" s="11" t="s">
        <v>32</v>
      </c>
      <c r="E4" s="11" t="s">
        <v>50</v>
      </c>
      <c r="F4" s="11" t="s">
        <v>51</v>
      </c>
      <c r="G4" s="11" t="s">
        <v>52</v>
      </c>
      <c r="H4" s="11" t="s">
        <v>53</v>
      </c>
      <c r="I4" s="11" t="s">
        <v>54</v>
      </c>
      <c r="J4" s="11" t="s">
        <v>34</v>
      </c>
      <c r="K4" s="11" t="s">
        <v>55</v>
      </c>
      <c r="L4" s="11" t="s">
        <v>39</v>
      </c>
      <c r="M4" s="11" t="s">
        <v>56</v>
      </c>
      <c r="N4" s="11" t="s">
        <v>41</v>
      </c>
      <c r="O4" s="11"/>
    </row>
    <row r="5" spans="1:15" ht="62" customHeight="1" x14ac:dyDescent="0.2">
      <c r="A5" s="12" t="s">
        <v>57</v>
      </c>
      <c r="B5" s="12" t="s">
        <v>30</v>
      </c>
      <c r="C5" s="12" t="s">
        <v>31</v>
      </c>
      <c r="D5" s="12" t="s">
        <v>32</v>
      </c>
      <c r="E5" s="12" t="s">
        <v>58</v>
      </c>
      <c r="F5" s="12" t="s">
        <v>34</v>
      </c>
      <c r="G5" s="12" t="s">
        <v>59</v>
      </c>
      <c r="H5" s="12" t="s">
        <v>60</v>
      </c>
      <c r="I5" s="12" t="s">
        <v>61</v>
      </c>
      <c r="J5" s="12" t="s">
        <v>34</v>
      </c>
      <c r="K5" s="12" t="s">
        <v>62</v>
      </c>
      <c r="L5" s="12" t="s">
        <v>39</v>
      </c>
      <c r="M5" s="12" t="s">
        <v>63</v>
      </c>
      <c r="N5" s="12" t="s">
        <v>41</v>
      </c>
      <c r="O5" s="12"/>
    </row>
    <row r="6" spans="1:15" ht="62" customHeight="1" x14ac:dyDescent="0.2">
      <c r="A6" s="11" t="s">
        <v>64</v>
      </c>
      <c r="B6" s="11" t="s">
        <v>65</v>
      </c>
      <c r="C6" s="11" t="s">
        <v>31</v>
      </c>
      <c r="D6" s="11" t="s">
        <v>32</v>
      </c>
      <c r="E6" s="11" t="s">
        <v>43</v>
      </c>
      <c r="F6" s="11" t="s">
        <v>66</v>
      </c>
      <c r="G6" s="11" t="s">
        <v>67</v>
      </c>
      <c r="H6" s="11" t="s">
        <v>68</v>
      </c>
      <c r="I6" s="11" t="s">
        <v>51</v>
      </c>
      <c r="J6" s="11" t="s">
        <v>34</v>
      </c>
      <c r="K6" s="11" t="s">
        <v>69</v>
      </c>
      <c r="L6" s="11" t="s">
        <v>39</v>
      </c>
      <c r="M6" s="11" t="s">
        <v>70</v>
      </c>
      <c r="N6" s="11" t="s">
        <v>41</v>
      </c>
      <c r="O6" s="11"/>
    </row>
    <row r="7" spans="1:15" ht="62" customHeight="1" x14ac:dyDescent="0.2">
      <c r="A7" s="12" t="s">
        <v>71</v>
      </c>
      <c r="B7" s="12" t="s">
        <v>65</v>
      </c>
      <c r="C7" s="12" t="s">
        <v>72</v>
      </c>
      <c r="D7" s="12" t="s">
        <v>32</v>
      </c>
      <c r="E7" s="12" t="s">
        <v>43</v>
      </c>
      <c r="F7" s="12" t="s">
        <v>66</v>
      </c>
      <c r="G7" s="12" t="s">
        <v>67</v>
      </c>
      <c r="H7" s="12" t="s">
        <v>73</v>
      </c>
      <c r="I7" s="12" t="s">
        <v>51</v>
      </c>
      <c r="J7" s="12" t="s">
        <v>34</v>
      </c>
      <c r="K7" s="12" t="s">
        <v>74</v>
      </c>
      <c r="L7" s="12" t="s">
        <v>39</v>
      </c>
      <c r="M7" s="12" t="s">
        <v>75</v>
      </c>
      <c r="N7" s="12" t="s">
        <v>41</v>
      </c>
      <c r="O7" s="12"/>
    </row>
    <row r="8" spans="1:15" ht="62" customHeight="1" x14ac:dyDescent="0.2">
      <c r="A8" s="11" t="s">
        <v>76</v>
      </c>
      <c r="B8" s="11" t="s">
        <v>65</v>
      </c>
      <c r="C8" s="11" t="s">
        <v>31</v>
      </c>
      <c r="D8" s="11" t="s">
        <v>77</v>
      </c>
      <c r="E8" s="11" t="s">
        <v>43</v>
      </c>
      <c r="F8" s="11" t="s">
        <v>66</v>
      </c>
      <c r="G8" s="11" t="s">
        <v>67</v>
      </c>
      <c r="H8" s="11" t="s">
        <v>78</v>
      </c>
      <c r="I8" s="11" t="s">
        <v>51</v>
      </c>
      <c r="J8" s="11" t="s">
        <v>34</v>
      </c>
      <c r="K8" s="11" t="s">
        <v>79</v>
      </c>
      <c r="L8" s="11" t="s">
        <v>80</v>
      </c>
      <c r="M8" s="11" t="s">
        <v>81</v>
      </c>
      <c r="N8" s="11" t="s">
        <v>41</v>
      </c>
      <c r="O8" s="11"/>
    </row>
    <row r="9" spans="1:15" ht="62" customHeight="1" x14ac:dyDescent="0.2">
      <c r="A9" s="12" t="s">
        <v>82</v>
      </c>
      <c r="B9" s="12" t="s">
        <v>65</v>
      </c>
      <c r="C9" s="12" t="s">
        <v>72</v>
      </c>
      <c r="D9" s="12" t="s">
        <v>77</v>
      </c>
      <c r="E9" s="12" t="s">
        <v>43</v>
      </c>
      <c r="F9" s="12" t="s">
        <v>66</v>
      </c>
      <c r="G9" s="12" t="s">
        <v>67</v>
      </c>
      <c r="H9" s="12" t="s">
        <v>83</v>
      </c>
      <c r="I9" s="12" t="s">
        <v>51</v>
      </c>
      <c r="J9" s="12" t="s">
        <v>34</v>
      </c>
      <c r="K9" s="12" t="s">
        <v>84</v>
      </c>
      <c r="L9" s="12" t="s">
        <v>80</v>
      </c>
      <c r="M9" s="12" t="s">
        <v>85</v>
      </c>
      <c r="N9" s="12" t="s">
        <v>41</v>
      </c>
      <c r="O9" s="12"/>
    </row>
    <row r="10" spans="1:15" ht="62" customHeight="1" x14ac:dyDescent="0.2">
      <c r="A10" s="11" t="s">
        <v>86</v>
      </c>
      <c r="B10" s="11" t="s">
        <v>65</v>
      </c>
      <c r="C10" s="11" t="s">
        <v>72</v>
      </c>
      <c r="D10" s="11" t="s">
        <v>32</v>
      </c>
      <c r="E10" s="11" t="s">
        <v>43</v>
      </c>
      <c r="F10" s="11" t="s">
        <v>51</v>
      </c>
      <c r="G10" s="11" t="s">
        <v>87</v>
      </c>
      <c r="H10" s="11" t="s">
        <v>88</v>
      </c>
      <c r="I10" s="11" t="s">
        <v>37</v>
      </c>
      <c r="J10" s="11" t="s">
        <v>34</v>
      </c>
      <c r="K10" s="11" t="s">
        <v>89</v>
      </c>
      <c r="L10" s="11" t="s">
        <v>39</v>
      </c>
      <c r="M10" s="11" t="s">
        <v>90</v>
      </c>
      <c r="N10" s="11" t="s">
        <v>41</v>
      </c>
      <c r="O10" s="11"/>
    </row>
    <row r="11" spans="1:15" ht="62" customHeight="1" x14ac:dyDescent="0.2">
      <c r="A11" s="12" t="s">
        <v>91</v>
      </c>
      <c r="B11" s="12" t="s">
        <v>65</v>
      </c>
      <c r="C11" s="12" t="s">
        <v>72</v>
      </c>
      <c r="D11" s="12" t="s">
        <v>32</v>
      </c>
      <c r="E11" s="12" t="s">
        <v>43</v>
      </c>
      <c r="F11" s="12" t="s">
        <v>92</v>
      </c>
      <c r="G11" s="12" t="s">
        <v>87</v>
      </c>
      <c r="H11" s="12" t="s">
        <v>93</v>
      </c>
      <c r="I11" s="12" t="s">
        <v>37</v>
      </c>
      <c r="J11" s="12" t="s">
        <v>34</v>
      </c>
      <c r="K11" s="12" t="s">
        <v>94</v>
      </c>
      <c r="L11" s="12" t="s">
        <v>39</v>
      </c>
      <c r="M11" s="12" t="s">
        <v>95</v>
      </c>
      <c r="N11" s="12" t="s">
        <v>41</v>
      </c>
      <c r="O11" s="12"/>
    </row>
    <row r="12" spans="1:15" ht="62" customHeight="1" x14ac:dyDescent="0.2">
      <c r="A12" s="11" t="s">
        <v>96</v>
      </c>
      <c r="B12" s="11" t="s">
        <v>97</v>
      </c>
      <c r="C12" s="11" t="s">
        <v>31</v>
      </c>
      <c r="D12" s="11" t="s">
        <v>32</v>
      </c>
      <c r="E12" s="11" t="s">
        <v>43</v>
      </c>
      <c r="F12" s="11" t="s">
        <v>34</v>
      </c>
      <c r="G12" s="11" t="s">
        <v>98</v>
      </c>
      <c r="H12" s="11" t="s">
        <v>99</v>
      </c>
      <c r="I12" s="11" t="s">
        <v>37</v>
      </c>
      <c r="J12" s="11" t="s">
        <v>34</v>
      </c>
      <c r="K12" s="11" t="s">
        <v>100</v>
      </c>
      <c r="L12" s="11" t="s">
        <v>39</v>
      </c>
      <c r="M12" s="11" t="s">
        <v>101</v>
      </c>
      <c r="N12" s="11" t="s">
        <v>41</v>
      </c>
      <c r="O12" s="11"/>
    </row>
    <row r="13" spans="1:15" ht="62" customHeight="1" x14ac:dyDescent="0.2">
      <c r="A13" s="12" t="s">
        <v>102</v>
      </c>
      <c r="B13" s="12" t="s">
        <v>97</v>
      </c>
      <c r="C13" s="12" t="s">
        <v>31</v>
      </c>
      <c r="D13" s="12" t="s">
        <v>32</v>
      </c>
      <c r="E13" s="12" t="s">
        <v>43</v>
      </c>
      <c r="F13" s="12" t="s">
        <v>34</v>
      </c>
      <c r="G13" s="12" t="s">
        <v>103</v>
      </c>
      <c r="H13" s="12" t="s">
        <v>104</v>
      </c>
      <c r="I13" s="12" t="s">
        <v>37</v>
      </c>
      <c r="J13" s="12" t="s">
        <v>34</v>
      </c>
      <c r="K13" s="12" t="s">
        <v>105</v>
      </c>
      <c r="L13" s="12" t="s">
        <v>39</v>
      </c>
      <c r="M13" s="12" t="s">
        <v>106</v>
      </c>
      <c r="N13" s="12" t="s">
        <v>41</v>
      </c>
      <c r="O13" s="12"/>
    </row>
    <row r="14" spans="1:15" ht="62" customHeight="1" x14ac:dyDescent="0.2">
      <c r="A14" s="11" t="s">
        <v>107</v>
      </c>
      <c r="B14" s="11" t="s">
        <v>97</v>
      </c>
      <c r="C14" s="11" t="s">
        <v>31</v>
      </c>
      <c r="D14" s="11" t="s">
        <v>32</v>
      </c>
      <c r="E14" s="11" t="s">
        <v>43</v>
      </c>
      <c r="F14" s="11" t="s">
        <v>34</v>
      </c>
      <c r="G14" s="11" t="s">
        <v>108</v>
      </c>
      <c r="H14" s="11" t="s">
        <v>109</v>
      </c>
      <c r="I14" s="11" t="s">
        <v>37</v>
      </c>
      <c r="J14" s="11" t="s">
        <v>34</v>
      </c>
      <c r="K14" s="11" t="s">
        <v>110</v>
      </c>
      <c r="L14" s="11" t="s">
        <v>39</v>
      </c>
      <c r="M14" s="11" t="s">
        <v>111</v>
      </c>
      <c r="N14" s="11" t="s">
        <v>41</v>
      </c>
      <c r="O14" s="11"/>
    </row>
    <row r="15" spans="1:15" ht="62" customHeight="1" x14ac:dyDescent="0.2">
      <c r="A15" s="12" t="s">
        <v>112</v>
      </c>
      <c r="B15" s="12" t="s">
        <v>97</v>
      </c>
      <c r="C15" s="12" t="s">
        <v>31</v>
      </c>
      <c r="D15" s="12" t="s">
        <v>32</v>
      </c>
      <c r="E15" s="12" t="s">
        <v>43</v>
      </c>
      <c r="F15" s="12" t="s">
        <v>34</v>
      </c>
      <c r="G15" s="12" t="s">
        <v>113</v>
      </c>
      <c r="H15" s="12" t="s">
        <v>114</v>
      </c>
      <c r="I15" s="12" t="s">
        <v>37</v>
      </c>
      <c r="J15" s="12" t="s">
        <v>34</v>
      </c>
      <c r="K15" s="12" t="s">
        <v>115</v>
      </c>
      <c r="L15" s="12" t="s">
        <v>39</v>
      </c>
      <c r="M15" s="12" t="s">
        <v>116</v>
      </c>
      <c r="N15" s="12" t="s">
        <v>41</v>
      </c>
      <c r="O15" s="12"/>
    </row>
    <row r="16" spans="1:15" ht="62" customHeight="1" x14ac:dyDescent="0.2">
      <c r="A16" s="11" t="s">
        <v>117</v>
      </c>
      <c r="B16" s="11" t="s">
        <v>97</v>
      </c>
      <c r="C16" s="11" t="s">
        <v>31</v>
      </c>
      <c r="D16" s="11" t="s">
        <v>32</v>
      </c>
      <c r="E16" s="11" t="s">
        <v>43</v>
      </c>
      <c r="F16" s="11" t="s">
        <v>34</v>
      </c>
      <c r="G16" s="11" t="s">
        <v>118</v>
      </c>
      <c r="H16" s="11" t="s">
        <v>119</v>
      </c>
      <c r="I16" s="11" t="s">
        <v>37</v>
      </c>
      <c r="J16" s="11" t="s">
        <v>34</v>
      </c>
      <c r="K16" s="11" t="s">
        <v>120</v>
      </c>
      <c r="L16" s="11" t="s">
        <v>39</v>
      </c>
      <c r="M16" s="11" t="s">
        <v>121</v>
      </c>
      <c r="N16" s="11" t="s">
        <v>41</v>
      </c>
      <c r="O16" s="11"/>
    </row>
    <row r="17" spans="1:15" ht="62" customHeight="1" x14ac:dyDescent="0.2">
      <c r="A17" s="12" t="s">
        <v>122</v>
      </c>
      <c r="B17" s="12" t="s">
        <v>97</v>
      </c>
      <c r="C17" s="12" t="s">
        <v>31</v>
      </c>
      <c r="D17" s="12" t="s">
        <v>32</v>
      </c>
      <c r="E17" s="12" t="s">
        <v>43</v>
      </c>
      <c r="F17" s="12" t="s">
        <v>34</v>
      </c>
      <c r="G17" s="12" t="s">
        <v>123</v>
      </c>
      <c r="H17" s="12" t="s">
        <v>124</v>
      </c>
      <c r="I17" s="12" t="s">
        <v>37</v>
      </c>
      <c r="J17" s="12" t="s">
        <v>34</v>
      </c>
      <c r="K17" s="12" t="s">
        <v>125</v>
      </c>
      <c r="L17" s="12" t="s">
        <v>39</v>
      </c>
      <c r="M17" s="12" t="s">
        <v>126</v>
      </c>
      <c r="N17" s="12" t="s">
        <v>41</v>
      </c>
      <c r="O17" s="12"/>
    </row>
    <row r="18" spans="1:15" ht="62" customHeight="1" x14ac:dyDescent="0.2">
      <c r="A18" s="11" t="s">
        <v>127</v>
      </c>
      <c r="B18" s="11" t="s">
        <v>128</v>
      </c>
      <c r="C18" s="11" t="s">
        <v>31</v>
      </c>
      <c r="D18" s="11" t="s">
        <v>32</v>
      </c>
      <c r="E18" s="11" t="s">
        <v>129</v>
      </c>
      <c r="F18" s="11" t="s">
        <v>51</v>
      </c>
      <c r="G18" s="11" t="s">
        <v>130</v>
      </c>
      <c r="H18" s="11" t="s">
        <v>131</v>
      </c>
      <c r="I18" s="11" t="s">
        <v>92</v>
      </c>
      <c r="J18" s="11" t="s">
        <v>132</v>
      </c>
      <c r="K18" s="11" t="s">
        <v>133</v>
      </c>
      <c r="L18" s="11" t="s">
        <v>39</v>
      </c>
      <c r="M18" s="11" t="s">
        <v>134</v>
      </c>
      <c r="N18" s="11" t="s">
        <v>41</v>
      </c>
      <c r="O18" s="11"/>
    </row>
    <row r="19" spans="1:15" ht="62" customHeight="1" x14ac:dyDescent="0.2">
      <c r="A19" s="12" t="s">
        <v>135</v>
      </c>
      <c r="B19" s="12" t="s">
        <v>128</v>
      </c>
      <c r="C19" s="12" t="s">
        <v>31</v>
      </c>
      <c r="D19" s="12" t="s">
        <v>32</v>
      </c>
      <c r="E19" s="12" t="s">
        <v>129</v>
      </c>
      <c r="F19" s="12" t="s">
        <v>51</v>
      </c>
      <c r="G19" s="12" t="s">
        <v>136</v>
      </c>
      <c r="H19" s="12" t="s">
        <v>137</v>
      </c>
      <c r="I19" s="12" t="s">
        <v>138</v>
      </c>
      <c r="J19" s="12" t="s">
        <v>132</v>
      </c>
      <c r="K19" s="12" t="s">
        <v>139</v>
      </c>
      <c r="L19" s="12" t="s">
        <v>39</v>
      </c>
      <c r="M19" s="12" t="s">
        <v>140</v>
      </c>
      <c r="N19" s="12" t="s">
        <v>41</v>
      </c>
      <c r="O19" s="12"/>
    </row>
    <row r="20" spans="1:15" ht="62" customHeight="1" x14ac:dyDescent="0.2">
      <c r="A20" s="11" t="s">
        <v>141</v>
      </c>
      <c r="B20" s="11" t="s">
        <v>128</v>
      </c>
      <c r="C20" s="11" t="s">
        <v>72</v>
      </c>
      <c r="D20" s="11" t="s">
        <v>77</v>
      </c>
      <c r="E20" s="11" t="s">
        <v>129</v>
      </c>
      <c r="F20" s="11" t="s">
        <v>51</v>
      </c>
      <c r="G20" s="11" t="s">
        <v>142</v>
      </c>
      <c r="H20" s="11" t="s">
        <v>137</v>
      </c>
      <c r="I20" s="11" t="s">
        <v>143</v>
      </c>
      <c r="J20" s="11" t="s">
        <v>132</v>
      </c>
      <c r="K20" s="11" t="s">
        <v>144</v>
      </c>
      <c r="L20" s="11" t="s">
        <v>39</v>
      </c>
      <c r="M20" s="11" t="s">
        <v>145</v>
      </c>
      <c r="N20" s="11" t="s">
        <v>41</v>
      </c>
      <c r="O20" s="11"/>
    </row>
    <row r="21" spans="1:15" ht="62" customHeight="1" x14ac:dyDescent="0.2">
      <c r="A21" s="12" t="s">
        <v>146</v>
      </c>
      <c r="B21" s="12" t="s">
        <v>128</v>
      </c>
      <c r="C21" s="12" t="s">
        <v>31</v>
      </c>
      <c r="D21" s="12" t="s">
        <v>32</v>
      </c>
      <c r="E21" s="12" t="s">
        <v>129</v>
      </c>
      <c r="F21" s="12" t="s">
        <v>51</v>
      </c>
      <c r="G21" s="12" t="s">
        <v>147</v>
      </c>
      <c r="H21" s="12" t="s">
        <v>148</v>
      </c>
      <c r="I21" s="12" t="s">
        <v>54</v>
      </c>
      <c r="J21" s="12" t="s">
        <v>34</v>
      </c>
      <c r="K21" s="12" t="s">
        <v>149</v>
      </c>
      <c r="L21" s="12" t="s">
        <v>39</v>
      </c>
      <c r="M21" s="12" t="s">
        <v>150</v>
      </c>
      <c r="N21" s="12" t="s">
        <v>41</v>
      </c>
      <c r="O21" s="12"/>
    </row>
    <row r="22" spans="1:15" ht="62" customHeight="1" x14ac:dyDescent="0.2">
      <c r="A22" s="11" t="s">
        <v>151</v>
      </c>
      <c r="B22" s="11" t="s">
        <v>128</v>
      </c>
      <c r="C22" s="11" t="s">
        <v>31</v>
      </c>
      <c r="D22" s="11" t="s">
        <v>32</v>
      </c>
      <c r="E22" s="11" t="s">
        <v>129</v>
      </c>
      <c r="F22" s="11" t="s">
        <v>92</v>
      </c>
      <c r="G22" s="11" t="s">
        <v>152</v>
      </c>
      <c r="H22" s="11" t="s">
        <v>153</v>
      </c>
      <c r="I22" s="11" t="s">
        <v>54</v>
      </c>
      <c r="J22" s="11" t="s">
        <v>34</v>
      </c>
      <c r="K22" s="11" t="s">
        <v>154</v>
      </c>
      <c r="L22" s="11" t="s">
        <v>39</v>
      </c>
      <c r="M22" s="11" t="s">
        <v>155</v>
      </c>
      <c r="N22" s="11" t="s">
        <v>41</v>
      </c>
      <c r="O22" s="11"/>
    </row>
    <row r="23" spans="1:15" ht="62" customHeight="1" x14ac:dyDescent="0.2">
      <c r="A23" s="12" t="s">
        <v>156</v>
      </c>
      <c r="B23" s="12" t="s">
        <v>157</v>
      </c>
      <c r="C23" s="12" t="s">
        <v>31</v>
      </c>
      <c r="D23" s="12" t="s">
        <v>32</v>
      </c>
      <c r="E23" s="12" t="s">
        <v>43</v>
      </c>
      <c r="F23" s="12" t="s">
        <v>138</v>
      </c>
      <c r="G23" s="12" t="s">
        <v>157</v>
      </c>
      <c r="H23" s="12" t="s">
        <v>158</v>
      </c>
      <c r="I23" s="12" t="s">
        <v>51</v>
      </c>
      <c r="J23" s="12" t="s">
        <v>34</v>
      </c>
      <c r="K23" s="12" t="s">
        <v>159</v>
      </c>
      <c r="L23" s="12" t="s">
        <v>39</v>
      </c>
      <c r="M23" s="12" t="s">
        <v>160</v>
      </c>
      <c r="N23" s="12" t="s">
        <v>41</v>
      </c>
      <c r="O23" s="12"/>
    </row>
    <row r="24" spans="1:15" ht="62" customHeight="1" x14ac:dyDescent="0.2">
      <c r="A24" s="11" t="s">
        <v>161</v>
      </c>
      <c r="B24" s="11" t="s">
        <v>157</v>
      </c>
      <c r="C24" s="11" t="s">
        <v>31</v>
      </c>
      <c r="D24" s="11" t="s">
        <v>32</v>
      </c>
      <c r="E24" s="11" t="s">
        <v>43</v>
      </c>
      <c r="F24" s="11" t="s">
        <v>138</v>
      </c>
      <c r="G24" s="11" t="s">
        <v>157</v>
      </c>
      <c r="H24" s="11" t="s">
        <v>162</v>
      </c>
      <c r="I24" s="11" t="s">
        <v>51</v>
      </c>
      <c r="J24" s="11" t="s">
        <v>34</v>
      </c>
      <c r="K24" s="11" t="s">
        <v>163</v>
      </c>
      <c r="L24" s="11" t="s">
        <v>39</v>
      </c>
      <c r="M24" s="11" t="s">
        <v>164</v>
      </c>
      <c r="N24" s="11" t="s">
        <v>41</v>
      </c>
      <c r="O24" s="11"/>
    </row>
    <row r="25" spans="1:15" ht="62" customHeight="1" x14ac:dyDescent="0.2">
      <c r="A25" s="12" t="s">
        <v>165</v>
      </c>
      <c r="B25" s="12" t="s">
        <v>157</v>
      </c>
      <c r="C25" s="12" t="s">
        <v>31</v>
      </c>
      <c r="D25" s="12" t="s">
        <v>32</v>
      </c>
      <c r="E25" s="12" t="s">
        <v>43</v>
      </c>
      <c r="F25" s="12" t="s">
        <v>138</v>
      </c>
      <c r="G25" s="12" t="s">
        <v>157</v>
      </c>
      <c r="H25" s="12" t="s">
        <v>166</v>
      </c>
      <c r="I25" s="12" t="s">
        <v>92</v>
      </c>
      <c r="J25" s="12" t="s">
        <v>167</v>
      </c>
      <c r="K25" s="12" t="s">
        <v>168</v>
      </c>
      <c r="L25" s="12" t="s">
        <v>169</v>
      </c>
      <c r="M25" s="12" t="s">
        <v>170</v>
      </c>
      <c r="N25" s="12" t="s">
        <v>41</v>
      </c>
      <c r="O25" s="12"/>
    </row>
    <row r="26" spans="1:15" ht="62" customHeight="1" x14ac:dyDescent="0.2">
      <c r="A26" s="11" t="s">
        <v>171</v>
      </c>
      <c r="B26" s="11" t="s">
        <v>157</v>
      </c>
      <c r="C26" s="11" t="s">
        <v>31</v>
      </c>
      <c r="D26" s="11" t="s">
        <v>32</v>
      </c>
      <c r="E26" s="11" t="s">
        <v>43</v>
      </c>
      <c r="F26" s="11" t="s">
        <v>138</v>
      </c>
      <c r="G26" s="11" t="s">
        <v>157</v>
      </c>
      <c r="H26" s="11" t="s">
        <v>172</v>
      </c>
      <c r="I26" s="11" t="s">
        <v>51</v>
      </c>
      <c r="J26" s="11" t="s">
        <v>167</v>
      </c>
      <c r="K26" s="11" t="s">
        <v>173</v>
      </c>
      <c r="L26" s="11" t="s">
        <v>169</v>
      </c>
      <c r="M26" s="11" t="s">
        <v>174</v>
      </c>
      <c r="N26" s="11" t="s">
        <v>41</v>
      </c>
      <c r="O26" s="11"/>
    </row>
    <row r="27" spans="1:15" ht="62" customHeight="1" x14ac:dyDescent="0.2">
      <c r="A27" s="12" t="s">
        <v>175</v>
      </c>
      <c r="B27" s="12" t="s">
        <v>157</v>
      </c>
      <c r="C27" s="12" t="s">
        <v>31</v>
      </c>
      <c r="D27" s="12" t="s">
        <v>32</v>
      </c>
      <c r="E27" s="12" t="s">
        <v>43</v>
      </c>
      <c r="F27" s="12" t="s">
        <v>51</v>
      </c>
      <c r="G27" s="12" t="s">
        <v>176</v>
      </c>
      <c r="H27" s="12" t="s">
        <v>177</v>
      </c>
      <c r="I27" s="12" t="s">
        <v>54</v>
      </c>
      <c r="J27" s="12" t="s">
        <v>34</v>
      </c>
      <c r="K27" s="12" t="s">
        <v>178</v>
      </c>
      <c r="L27" s="12" t="s">
        <v>39</v>
      </c>
      <c r="M27" s="12" t="s">
        <v>179</v>
      </c>
      <c r="N27" s="12" t="s">
        <v>41</v>
      </c>
      <c r="O27" s="12"/>
    </row>
    <row r="28" spans="1:15" ht="62" customHeight="1" x14ac:dyDescent="0.2">
      <c r="A28" s="11" t="s">
        <v>180</v>
      </c>
      <c r="B28" s="11" t="s">
        <v>181</v>
      </c>
      <c r="C28" s="11" t="s">
        <v>31</v>
      </c>
      <c r="D28" s="11" t="s">
        <v>32</v>
      </c>
      <c r="E28" s="11" t="s">
        <v>167</v>
      </c>
      <c r="F28" s="11" t="s">
        <v>92</v>
      </c>
      <c r="G28" s="11" t="s">
        <v>130</v>
      </c>
      <c r="H28" s="11" t="s">
        <v>182</v>
      </c>
      <c r="I28" s="11" t="s">
        <v>183</v>
      </c>
      <c r="J28" s="11" t="s">
        <v>167</v>
      </c>
      <c r="K28" s="11" t="s">
        <v>184</v>
      </c>
      <c r="L28" s="11" t="s">
        <v>185</v>
      </c>
      <c r="M28" s="11" t="s">
        <v>186</v>
      </c>
      <c r="N28" s="11" t="s">
        <v>41</v>
      </c>
      <c r="O28" s="11"/>
    </row>
    <row r="29" spans="1:15" ht="62" customHeight="1" x14ac:dyDescent="0.2">
      <c r="A29" s="12" t="s">
        <v>187</v>
      </c>
      <c r="B29" s="12" t="s">
        <v>181</v>
      </c>
      <c r="C29" s="12" t="s">
        <v>31</v>
      </c>
      <c r="D29" s="12" t="s">
        <v>32</v>
      </c>
      <c r="E29" s="12" t="s">
        <v>167</v>
      </c>
      <c r="F29" s="12" t="s">
        <v>92</v>
      </c>
      <c r="G29" s="12" t="s">
        <v>136</v>
      </c>
      <c r="H29" s="12" t="s">
        <v>188</v>
      </c>
      <c r="I29" s="12" t="s">
        <v>138</v>
      </c>
      <c r="J29" s="12" t="s">
        <v>167</v>
      </c>
      <c r="K29" s="12" t="s">
        <v>189</v>
      </c>
      <c r="L29" s="12" t="s">
        <v>185</v>
      </c>
      <c r="M29" s="12" t="s">
        <v>190</v>
      </c>
      <c r="N29" s="12" t="s">
        <v>41</v>
      </c>
      <c r="O29" s="12"/>
    </row>
    <row r="30" spans="1:15" ht="62" customHeight="1" x14ac:dyDescent="0.2">
      <c r="A30" s="11" t="s">
        <v>191</v>
      </c>
      <c r="B30" s="11" t="s">
        <v>181</v>
      </c>
      <c r="C30" s="11" t="s">
        <v>72</v>
      </c>
      <c r="D30" s="11" t="s">
        <v>77</v>
      </c>
      <c r="E30" s="11" t="s">
        <v>167</v>
      </c>
      <c r="F30" s="11" t="s">
        <v>92</v>
      </c>
      <c r="G30" s="11" t="s">
        <v>142</v>
      </c>
      <c r="H30" s="11" t="s">
        <v>192</v>
      </c>
      <c r="I30" s="11" t="s">
        <v>143</v>
      </c>
      <c r="J30" s="11" t="s">
        <v>167</v>
      </c>
      <c r="K30" s="11" t="s">
        <v>193</v>
      </c>
      <c r="L30" s="11" t="s">
        <v>194</v>
      </c>
      <c r="M30" s="11" t="s">
        <v>195</v>
      </c>
      <c r="N30" s="11" t="s">
        <v>41</v>
      </c>
      <c r="O30" s="11"/>
    </row>
    <row r="31" spans="1:15" ht="62" customHeight="1" x14ac:dyDescent="0.2">
      <c r="A31" s="12" t="s">
        <v>196</v>
      </c>
      <c r="B31" s="12" t="s">
        <v>197</v>
      </c>
      <c r="C31" s="12" t="s">
        <v>31</v>
      </c>
      <c r="D31" s="12" t="s">
        <v>32</v>
      </c>
      <c r="E31" s="12" t="s">
        <v>198</v>
      </c>
      <c r="F31" s="12" t="s">
        <v>183</v>
      </c>
      <c r="G31" s="12" t="s">
        <v>130</v>
      </c>
      <c r="H31" s="12" t="s">
        <v>199</v>
      </c>
      <c r="I31" s="12" t="s">
        <v>200</v>
      </c>
      <c r="J31" s="12" t="s">
        <v>198</v>
      </c>
      <c r="K31" s="12" t="s">
        <v>201</v>
      </c>
      <c r="L31" s="12" t="s">
        <v>202</v>
      </c>
      <c r="M31" s="12" t="s">
        <v>203</v>
      </c>
      <c r="N31" s="12" t="s">
        <v>41</v>
      </c>
      <c r="O31" s="12"/>
    </row>
    <row r="32" spans="1:15" ht="62" customHeight="1" x14ac:dyDescent="0.2">
      <c r="A32" s="11" t="s">
        <v>204</v>
      </c>
      <c r="B32" s="11" t="s">
        <v>197</v>
      </c>
      <c r="C32" s="11" t="s">
        <v>31</v>
      </c>
      <c r="D32" s="11" t="s">
        <v>32</v>
      </c>
      <c r="E32" s="11" t="s">
        <v>198</v>
      </c>
      <c r="F32" s="11" t="s">
        <v>183</v>
      </c>
      <c r="G32" s="11" t="s">
        <v>136</v>
      </c>
      <c r="H32" s="11" t="s">
        <v>188</v>
      </c>
      <c r="I32" s="11" t="s">
        <v>138</v>
      </c>
      <c r="J32" s="11" t="s">
        <v>198</v>
      </c>
      <c r="K32" s="11" t="s">
        <v>205</v>
      </c>
      <c r="L32" s="11" t="s">
        <v>202</v>
      </c>
      <c r="M32" s="11" t="s">
        <v>206</v>
      </c>
      <c r="N32" s="11" t="s">
        <v>41</v>
      </c>
      <c r="O32" s="11"/>
    </row>
    <row r="33" spans="1:15" ht="62" customHeight="1" x14ac:dyDescent="0.2">
      <c r="A33" s="12" t="s">
        <v>207</v>
      </c>
      <c r="B33" s="12" t="s">
        <v>197</v>
      </c>
      <c r="C33" s="12" t="s">
        <v>72</v>
      </c>
      <c r="D33" s="12" t="s">
        <v>77</v>
      </c>
      <c r="E33" s="12" t="s">
        <v>198</v>
      </c>
      <c r="F33" s="12" t="s">
        <v>183</v>
      </c>
      <c r="G33" s="12" t="s">
        <v>142</v>
      </c>
      <c r="H33" s="12" t="s">
        <v>208</v>
      </c>
      <c r="I33" s="12" t="s">
        <v>143</v>
      </c>
      <c r="J33" s="12" t="s">
        <v>198</v>
      </c>
      <c r="K33" s="12" t="s">
        <v>193</v>
      </c>
      <c r="L33" s="12" t="s">
        <v>202</v>
      </c>
      <c r="M33" s="12" t="s">
        <v>209</v>
      </c>
      <c r="N33" s="12" t="s">
        <v>41</v>
      </c>
      <c r="O33" s="12"/>
    </row>
    <row r="34" spans="1:15" ht="62" customHeight="1" x14ac:dyDescent="0.2">
      <c r="A34" s="11" t="s">
        <v>210</v>
      </c>
      <c r="B34" s="11" t="s">
        <v>211</v>
      </c>
      <c r="C34" s="11" t="s">
        <v>31</v>
      </c>
      <c r="D34" s="11" t="s">
        <v>32</v>
      </c>
      <c r="E34" s="11" t="s">
        <v>212</v>
      </c>
      <c r="F34" s="11" t="s">
        <v>200</v>
      </c>
      <c r="G34" s="11" t="s">
        <v>213</v>
      </c>
      <c r="H34" s="11" t="s">
        <v>214</v>
      </c>
      <c r="I34" s="11" t="s">
        <v>215</v>
      </c>
      <c r="J34" s="11" t="s">
        <v>34</v>
      </c>
      <c r="K34" s="11" t="s">
        <v>216</v>
      </c>
      <c r="L34" s="11" t="s">
        <v>217</v>
      </c>
      <c r="M34" s="11" t="s">
        <v>218</v>
      </c>
      <c r="N34" s="11" t="s">
        <v>41</v>
      </c>
      <c r="O34" s="11"/>
    </row>
    <row r="35" spans="1:15" ht="62" customHeight="1" x14ac:dyDescent="0.2">
      <c r="A35" s="12" t="s">
        <v>219</v>
      </c>
      <c r="B35" s="12" t="s">
        <v>211</v>
      </c>
      <c r="C35" s="12" t="s">
        <v>31</v>
      </c>
      <c r="D35" s="12" t="s">
        <v>32</v>
      </c>
      <c r="E35" s="12" t="s">
        <v>212</v>
      </c>
      <c r="F35" s="12" t="s">
        <v>200</v>
      </c>
      <c r="G35" s="12" t="s">
        <v>220</v>
      </c>
      <c r="H35" s="12" t="s">
        <v>221</v>
      </c>
      <c r="I35" s="12" t="s">
        <v>200</v>
      </c>
      <c r="J35" s="12" t="s">
        <v>34</v>
      </c>
      <c r="K35" s="12" t="s">
        <v>222</v>
      </c>
      <c r="L35" s="12" t="s">
        <v>217</v>
      </c>
      <c r="M35" s="12" t="s">
        <v>223</v>
      </c>
      <c r="N35" s="12" t="s">
        <v>41</v>
      </c>
      <c r="O35" s="12"/>
    </row>
    <row r="36" spans="1:15" ht="62" customHeight="1" x14ac:dyDescent="0.2">
      <c r="A36" s="11" t="s">
        <v>224</v>
      </c>
      <c r="B36" s="11" t="s">
        <v>225</v>
      </c>
      <c r="C36" s="11" t="s">
        <v>72</v>
      </c>
      <c r="D36" s="11" t="s">
        <v>77</v>
      </c>
      <c r="E36" s="11" t="s">
        <v>43</v>
      </c>
      <c r="F36" s="11" t="s">
        <v>215</v>
      </c>
      <c r="G36" s="11" t="s">
        <v>226</v>
      </c>
      <c r="H36" s="11" t="s">
        <v>227</v>
      </c>
      <c r="I36" s="11" t="s">
        <v>215</v>
      </c>
      <c r="J36" s="11" t="s">
        <v>34</v>
      </c>
      <c r="K36" s="11" t="s">
        <v>228</v>
      </c>
      <c r="L36" s="11" t="s">
        <v>229</v>
      </c>
      <c r="M36" s="11" t="s">
        <v>230</v>
      </c>
      <c r="N36" s="11" t="s">
        <v>41</v>
      </c>
      <c r="O36" s="11"/>
    </row>
    <row r="37" spans="1:15" ht="62" customHeight="1" x14ac:dyDescent="0.2">
      <c r="A37" s="12" t="s">
        <v>231</v>
      </c>
      <c r="B37" s="12" t="s">
        <v>225</v>
      </c>
      <c r="C37" s="12" t="s">
        <v>72</v>
      </c>
      <c r="D37" s="12" t="s">
        <v>77</v>
      </c>
      <c r="E37" s="12" t="s">
        <v>167</v>
      </c>
      <c r="F37" s="12" t="s">
        <v>215</v>
      </c>
      <c r="G37" s="12" t="s">
        <v>232</v>
      </c>
      <c r="H37" s="12" t="s">
        <v>233</v>
      </c>
      <c r="I37" s="12" t="s">
        <v>234</v>
      </c>
      <c r="J37" s="12" t="s">
        <v>34</v>
      </c>
      <c r="K37" s="12" t="s">
        <v>235</v>
      </c>
      <c r="L37" s="12" t="s">
        <v>236</v>
      </c>
      <c r="M37" s="12" t="s">
        <v>237</v>
      </c>
      <c r="N37" s="12" t="s">
        <v>41</v>
      </c>
      <c r="O37" s="12"/>
    </row>
    <row r="38" spans="1:15" ht="62" customHeight="1" x14ac:dyDescent="0.2">
      <c r="A38" s="11" t="s">
        <v>238</v>
      </c>
      <c r="B38" s="11" t="s">
        <v>239</v>
      </c>
      <c r="C38" s="11" t="s">
        <v>31</v>
      </c>
      <c r="D38" s="11" t="s">
        <v>32</v>
      </c>
      <c r="E38" s="11" t="s">
        <v>240</v>
      </c>
      <c r="F38" s="11" t="s">
        <v>241</v>
      </c>
      <c r="G38" s="11" t="s">
        <v>242</v>
      </c>
      <c r="H38" s="11" t="s">
        <v>243</v>
      </c>
      <c r="I38" s="11" t="s">
        <v>244</v>
      </c>
      <c r="J38" s="11" t="s">
        <v>245</v>
      </c>
      <c r="K38" s="11" t="s">
        <v>246</v>
      </c>
      <c r="L38" s="11" t="s">
        <v>247</v>
      </c>
      <c r="M38" s="11" t="s">
        <v>248</v>
      </c>
      <c r="N38" s="11" t="s">
        <v>41</v>
      </c>
      <c r="O38" s="11"/>
    </row>
    <row r="39" spans="1:15" ht="62" customHeight="1" x14ac:dyDescent="0.2">
      <c r="A39" s="12" t="s">
        <v>249</v>
      </c>
      <c r="B39" s="12" t="s">
        <v>250</v>
      </c>
      <c r="C39" s="12" t="s">
        <v>31</v>
      </c>
      <c r="D39" s="12" t="s">
        <v>32</v>
      </c>
      <c r="E39" s="12" t="s">
        <v>43</v>
      </c>
      <c r="F39" s="12" t="s">
        <v>51</v>
      </c>
      <c r="G39" s="12" t="s">
        <v>251</v>
      </c>
      <c r="H39" s="12" t="s">
        <v>252</v>
      </c>
      <c r="I39" s="12" t="s">
        <v>51</v>
      </c>
      <c r="J39" s="12" t="s">
        <v>34</v>
      </c>
      <c r="K39" s="12" t="s">
        <v>253</v>
      </c>
      <c r="L39" s="12" t="s">
        <v>254</v>
      </c>
      <c r="M39" s="12" t="s">
        <v>255</v>
      </c>
      <c r="N39" s="12" t="s">
        <v>41</v>
      </c>
      <c r="O39" s="12"/>
    </row>
    <row r="40" spans="1:15" ht="62" customHeight="1" x14ac:dyDescent="0.2">
      <c r="A40" s="11" t="s">
        <v>256</v>
      </c>
      <c r="B40" s="11" t="s">
        <v>250</v>
      </c>
      <c r="C40" s="11" t="s">
        <v>31</v>
      </c>
      <c r="D40" s="11" t="s">
        <v>32</v>
      </c>
      <c r="E40" s="11" t="s">
        <v>43</v>
      </c>
      <c r="F40" s="11" t="s">
        <v>92</v>
      </c>
      <c r="G40" s="11" t="s">
        <v>251</v>
      </c>
      <c r="H40" s="11" t="s">
        <v>257</v>
      </c>
      <c r="I40" s="11" t="s">
        <v>92</v>
      </c>
      <c r="J40" s="11" t="s">
        <v>34</v>
      </c>
      <c r="K40" s="11" t="s">
        <v>258</v>
      </c>
      <c r="L40" s="11" t="s">
        <v>254</v>
      </c>
      <c r="M40" s="11" t="s">
        <v>259</v>
      </c>
      <c r="N40" s="11" t="s">
        <v>41</v>
      </c>
      <c r="O40" s="11"/>
    </row>
    <row r="41" spans="1:15" ht="62" customHeight="1" x14ac:dyDescent="0.2">
      <c r="A41" s="12" t="s">
        <v>260</v>
      </c>
      <c r="B41" s="12" t="s">
        <v>250</v>
      </c>
      <c r="C41" s="12" t="s">
        <v>72</v>
      </c>
      <c r="D41" s="12" t="s">
        <v>77</v>
      </c>
      <c r="E41" s="12" t="s">
        <v>43</v>
      </c>
      <c r="F41" s="12" t="s">
        <v>143</v>
      </c>
      <c r="G41" s="12" t="s">
        <v>261</v>
      </c>
      <c r="H41" s="12" t="s">
        <v>262</v>
      </c>
      <c r="I41" s="12" t="s">
        <v>143</v>
      </c>
      <c r="J41" s="12" t="s">
        <v>263</v>
      </c>
      <c r="K41" s="12" t="s">
        <v>264</v>
      </c>
      <c r="L41" s="12" t="s">
        <v>254</v>
      </c>
      <c r="M41" s="12" t="s">
        <v>265</v>
      </c>
      <c r="N41" s="12" t="s">
        <v>41</v>
      </c>
      <c r="O41" s="12"/>
    </row>
    <row r="42" spans="1:15" ht="62" customHeight="1" x14ac:dyDescent="0.2">
      <c r="A42" s="11" t="s">
        <v>266</v>
      </c>
      <c r="B42" s="11" t="s">
        <v>250</v>
      </c>
      <c r="C42" s="11" t="s">
        <v>72</v>
      </c>
      <c r="D42" s="11" t="s">
        <v>77</v>
      </c>
      <c r="E42" s="11" t="s">
        <v>43</v>
      </c>
      <c r="F42" s="11" t="s">
        <v>138</v>
      </c>
      <c r="G42" s="11" t="s">
        <v>267</v>
      </c>
      <c r="H42" s="11" t="s">
        <v>268</v>
      </c>
      <c r="I42" s="11" t="s">
        <v>138</v>
      </c>
      <c r="J42" s="11" t="s">
        <v>269</v>
      </c>
      <c r="K42" s="11" t="s">
        <v>270</v>
      </c>
      <c r="L42" s="11" t="s">
        <v>254</v>
      </c>
      <c r="M42" s="11" t="s">
        <v>271</v>
      </c>
      <c r="N42" s="11" t="s">
        <v>41</v>
      </c>
      <c r="O42" s="11"/>
    </row>
  </sheetData>
  <autoFilter ref="A1:O42" xr:uid="{00000000-0009-0000-0000-000001000000}"/>
  <conditionalFormatting sqref="N2:N42">
    <cfRule type="cellIs" dxfId="0" priority="1" operator="equal">
      <formula>"☑"</formula>
    </cfRule>
  </conditionalFormatting>
  <dataValidations count="1">
    <dataValidation type="list" promptTitle="สถานะการทดสอบ" prompt="เลือก ☑ เมื่อทดสอบเสร็จแล้ว" sqref="N2:N42" xr:uid="{00000000-0002-0000-0100-000000000000}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70" customWidth="1"/>
    <col min="3" max="3" width="34" customWidth="1"/>
    <col min="4" max="4" width="52" customWidth="1"/>
  </cols>
  <sheetData>
    <row r="1" spans="1:4" ht="34" customHeight="1" x14ac:dyDescent="0.2">
      <c r="A1" s="5" t="s">
        <v>272</v>
      </c>
      <c r="B1" s="5" t="s">
        <v>273</v>
      </c>
      <c r="C1" s="5" t="s">
        <v>274</v>
      </c>
      <c r="D1" s="5" t="s">
        <v>275</v>
      </c>
    </row>
    <row r="2" spans="1:4" ht="40" customHeight="1" x14ac:dyDescent="0.2">
      <c r="A2" s="6" t="s">
        <v>51</v>
      </c>
      <c r="B2" s="6" t="s">
        <v>276</v>
      </c>
      <c r="C2" s="6" t="s">
        <v>277</v>
      </c>
      <c r="D2" s="6" t="s">
        <v>278</v>
      </c>
    </row>
    <row r="3" spans="1:4" ht="40" customHeight="1" x14ac:dyDescent="0.2">
      <c r="A3" s="7" t="s">
        <v>92</v>
      </c>
      <c r="B3" s="7" t="s">
        <v>279</v>
      </c>
      <c r="C3" s="7" t="s">
        <v>280</v>
      </c>
      <c r="D3" s="7" t="s">
        <v>281</v>
      </c>
    </row>
    <row r="4" spans="1:4" ht="40" customHeight="1" x14ac:dyDescent="0.2">
      <c r="A4" s="6" t="s">
        <v>183</v>
      </c>
      <c r="B4" s="6" t="s">
        <v>282</v>
      </c>
      <c r="C4" s="6" t="s">
        <v>198</v>
      </c>
      <c r="D4" s="6" t="s">
        <v>283</v>
      </c>
    </row>
    <row r="5" spans="1:4" ht="40" customHeight="1" x14ac:dyDescent="0.2">
      <c r="A5" s="7" t="s">
        <v>200</v>
      </c>
      <c r="B5" s="7" t="s">
        <v>284</v>
      </c>
      <c r="C5" s="7" t="s">
        <v>212</v>
      </c>
      <c r="D5" s="7" t="s">
        <v>283</v>
      </c>
    </row>
    <row r="6" spans="1:4" ht="40" customHeight="1" x14ac:dyDescent="0.2">
      <c r="A6" s="6" t="s">
        <v>138</v>
      </c>
      <c r="B6" s="6" t="s">
        <v>285</v>
      </c>
      <c r="C6" s="6" t="s">
        <v>286</v>
      </c>
      <c r="D6" s="6" t="s">
        <v>287</v>
      </c>
    </row>
    <row r="7" spans="1:4" ht="40" customHeight="1" x14ac:dyDescent="0.2">
      <c r="A7" s="7" t="s">
        <v>143</v>
      </c>
      <c r="B7" s="7" t="s">
        <v>288</v>
      </c>
      <c r="C7" s="7" t="s">
        <v>289</v>
      </c>
      <c r="D7" s="7" t="s">
        <v>290</v>
      </c>
    </row>
    <row r="8" spans="1:4" ht="40" customHeight="1" x14ac:dyDescent="0.2">
      <c r="A8" s="6" t="s">
        <v>215</v>
      </c>
      <c r="B8" s="6" t="s">
        <v>291</v>
      </c>
      <c r="C8" s="6" t="s">
        <v>212</v>
      </c>
      <c r="D8" s="6" t="s">
        <v>292</v>
      </c>
    </row>
    <row r="9" spans="1:4" ht="40" customHeight="1" x14ac:dyDescent="0.2">
      <c r="A9" s="7" t="s">
        <v>234</v>
      </c>
      <c r="B9" s="7" t="s">
        <v>293</v>
      </c>
      <c r="C9" s="7" t="s">
        <v>294</v>
      </c>
      <c r="D9" s="7" t="s">
        <v>295</v>
      </c>
    </row>
    <row r="10" spans="1:4" ht="40" customHeight="1" x14ac:dyDescent="0.2">
      <c r="A10" s="6" t="s">
        <v>244</v>
      </c>
      <c r="B10" s="6" t="s">
        <v>242</v>
      </c>
      <c r="C10" s="6" t="s">
        <v>240</v>
      </c>
      <c r="D10" s="6" t="s">
        <v>292</v>
      </c>
    </row>
    <row r="11" spans="1:4" ht="40" customHeight="1" x14ac:dyDescent="0.2">
      <c r="A11" s="7"/>
      <c r="B11" s="7"/>
      <c r="C11" s="7"/>
      <c r="D11" s="7"/>
    </row>
    <row r="12" spans="1:4" ht="40" customHeight="1" x14ac:dyDescent="0.2">
      <c r="A12" s="6" t="s">
        <v>296</v>
      </c>
      <c r="B12" s="6" t="s">
        <v>297</v>
      </c>
      <c r="C12" s="6"/>
      <c r="D12" s="6"/>
    </row>
    <row r="13" spans="1:4" ht="40" customHeight="1" x14ac:dyDescent="0.2">
      <c r="A13" s="7" t="s">
        <v>298</v>
      </c>
      <c r="B13" s="7" t="s">
        <v>299</v>
      </c>
      <c r="C13" s="7"/>
      <c r="D13" s="7"/>
    </row>
    <row r="14" spans="1:4" ht="40" customHeight="1" x14ac:dyDescent="0.2">
      <c r="A14" s="6" t="s">
        <v>300</v>
      </c>
      <c r="B14" s="6" t="s">
        <v>301</v>
      </c>
      <c r="C14" s="6"/>
      <c r="D14" s="6"/>
    </row>
    <row r="15" spans="1:4" ht="40" customHeight="1" x14ac:dyDescent="0.2">
      <c r="A15" s="7" t="s">
        <v>302</v>
      </c>
      <c r="B15" s="7" t="s">
        <v>303</v>
      </c>
      <c r="C15" s="7"/>
      <c r="D15" s="7"/>
    </row>
    <row r="16" spans="1:4" ht="40" customHeight="1" x14ac:dyDescent="0.2">
      <c r="A16" s="6" t="s">
        <v>304</v>
      </c>
      <c r="B16" s="6" t="s">
        <v>305</v>
      </c>
      <c r="C16" s="6"/>
      <c r="D16" s="6"/>
    </row>
  </sheetData>
  <autoFilter ref="A1:D1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สรุป</vt:lpstr>
      <vt:lpstr>รายการทดสอบ</vt:lpstr>
      <vt:lpstr>สถานะและกติกา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CHONLANNA SAIKAMPA</cp:lastModifiedBy>
  <dcterms:created xsi:type="dcterms:W3CDTF">2026-08-30T10:16:42Z</dcterms:created>
  <dcterms:modified xsi:type="dcterms:W3CDTF">2026-08-31T09:26:31Z</dcterms:modified>
</cp:coreProperties>
</file>